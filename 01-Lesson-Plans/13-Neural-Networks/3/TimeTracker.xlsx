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harris/FinTech-Lesson-Plans/01-Lesson-Plans/13-Neural-Networks/3/"/>
    </mc:Choice>
  </mc:AlternateContent>
  <xr:revisionPtr revIDLastSave="0" documentId="13_ncr:1_{C11BEF97-8C26-B045-8C1F-8EC6E522143E}" xr6:coauthVersionLast="47" xr6:coauthVersionMax="47" xr10:uidLastSave="{00000000-0000-0000-0000-000000000000}"/>
  <bookViews>
    <workbookView xWindow="10680" yWindow="780" windowWidth="18120" windowHeight="15580" xr2:uid="{00000000-000D-0000-FFFF-FFFF00000000}"/>
  </bookViews>
  <sheets>
    <sheet name="Weeknight" sheetId="1" r:id="rId1"/>
    <sheet name="Week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2" l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4" i="2"/>
  <c r="A5" i="2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</calcChain>
</file>

<file path=xl/sharedStrings.xml><?xml version="1.0" encoding="utf-8"?>
<sst xmlns="http://schemas.openxmlformats.org/spreadsheetml/2006/main" count="46" uniqueCount="24">
  <si>
    <t>Time</t>
  </si>
  <si>
    <t>Number</t>
  </si>
  <si>
    <t>Activity</t>
  </si>
  <si>
    <t>Duration</t>
  </si>
  <si>
    <t>Priority</t>
  </si>
  <si>
    <t>10:00 AM</t>
  </si>
  <si>
    <t>Instructor Do: Welcome Class</t>
  </si>
  <si>
    <t>BREAK</t>
  </si>
  <si>
    <t>END</t>
  </si>
  <si>
    <t>Lesson Plan 13.3 - Time Tracker</t>
  </si>
  <si>
    <t>Student Do: Overfitting</t>
  </si>
  <si>
    <t>Instructor Do: Overfitting</t>
  </si>
  <si>
    <t>Student Do: Saving Models</t>
  </si>
  <si>
    <t>Instructor Review: Saving Models</t>
  </si>
  <si>
    <t>Wrap Up</t>
  </si>
  <si>
    <t>Instructor Do: ROC and AUC</t>
  </si>
  <si>
    <t>Everyone Do: ROC and AUC</t>
  </si>
  <si>
    <t>Structured Review</t>
  </si>
  <si>
    <t>Instructor Do: Transfer Learning</t>
  </si>
  <si>
    <t>Instructor Do: Overfitting - Coding Demo</t>
  </si>
  <si>
    <t>Instructor Do: Review Overfitting</t>
  </si>
  <si>
    <t xml:space="preserve">Instructor Do: Saving Models </t>
  </si>
  <si>
    <t>Student Do: Transfer Learning: "Model Homes"</t>
  </si>
  <si>
    <t>Instructor Do: Review Transfer Learning: "Model Homes"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</si>
</sst>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8" fontId="1" fillId="0" borderId="0" xfId="0" applyNumberFormat="1" applyFont="1" applyAlignment="1">
      <alignment horizontal="right"/>
    </xf>
    <xf numFmtId="20" fontId="0" fillId="0" borderId="0" xfId="0" applyNumberFormat="1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123"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zoomScale="115" zoomScaleNormal="115" workbookViewId="0">
      <selection activeCell="A4" sqref="A4"/>
    </sheetView>
  </sheetViews>
  <sheetFormatPr baseColWidth="10" defaultColWidth="8.83203125" defaultRowHeight="15" x14ac:dyDescent="0.2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2">
      <c r="A1" s="6" t="s">
        <v>9</v>
      </c>
      <c r="B1" s="6"/>
      <c r="C1" s="6"/>
      <c r="D1" s="6"/>
      <c r="E1" s="6"/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2">
        <v>0.77083333333333337</v>
      </c>
      <c r="B3" s="1">
        <v>1</v>
      </c>
      <c r="C3" s="4" t="s">
        <v>6</v>
      </c>
      <c r="D3" s="3">
        <v>3.472222222222222E-3</v>
      </c>
    </row>
    <row r="4" spans="1:5" x14ac:dyDescent="0.2">
      <c r="A4" s="2">
        <f t="shared" ref="A4:A18" si="0">IF(LOWER($E3)="skip",A3,A3+D3)</f>
        <v>0.77430555555555558</v>
      </c>
      <c r="B4" s="1">
        <v>2</v>
      </c>
      <c r="C4" s="5" t="s">
        <v>11</v>
      </c>
      <c r="D4" s="3">
        <v>6.9444444444444441E-3</v>
      </c>
    </row>
    <row r="5" spans="1:5" x14ac:dyDescent="0.2">
      <c r="A5" s="2">
        <f t="shared" si="0"/>
        <v>0.78125</v>
      </c>
      <c r="B5" s="1">
        <v>3</v>
      </c>
      <c r="C5" s="5" t="s">
        <v>19</v>
      </c>
      <c r="D5" s="3">
        <v>6.9444444444444441E-3</v>
      </c>
    </row>
    <row r="6" spans="1:5" x14ac:dyDescent="0.2">
      <c r="A6" s="2">
        <f t="shared" si="0"/>
        <v>0.78819444444444442</v>
      </c>
      <c r="B6" s="1">
        <v>4</v>
      </c>
      <c r="C6" s="5" t="s">
        <v>10</v>
      </c>
      <c r="D6" s="3">
        <v>1.3888888888888888E-2</v>
      </c>
    </row>
    <row r="7" spans="1:5" x14ac:dyDescent="0.2">
      <c r="A7" s="2">
        <f t="shared" si="0"/>
        <v>0.80208333333333326</v>
      </c>
      <c r="B7" s="1">
        <v>5</v>
      </c>
      <c r="C7" s="5" t="s">
        <v>20</v>
      </c>
      <c r="D7" s="3">
        <v>6.9444444444444441E-3</v>
      </c>
    </row>
    <row r="8" spans="1:5" x14ac:dyDescent="0.2">
      <c r="A8" s="2">
        <f t="shared" si="0"/>
        <v>0.80902777777777768</v>
      </c>
      <c r="B8" s="1">
        <v>6</v>
      </c>
      <c r="C8" s="4" t="s">
        <v>15</v>
      </c>
      <c r="D8" s="3">
        <v>6.9444444444444441E-3</v>
      </c>
    </row>
    <row r="9" spans="1:5" x14ac:dyDescent="0.2">
      <c r="A9" s="2">
        <f t="shared" si="0"/>
        <v>0.8159722222222221</v>
      </c>
      <c r="B9" s="1">
        <v>7</v>
      </c>
      <c r="C9" s="4" t="s">
        <v>16</v>
      </c>
      <c r="D9" s="3">
        <v>1.0416666666666666E-2</v>
      </c>
    </row>
    <row r="10" spans="1:5" x14ac:dyDescent="0.2">
      <c r="A10" s="2">
        <f t="shared" si="0"/>
        <v>0.82638888888888873</v>
      </c>
      <c r="B10" s="1">
        <v>8</v>
      </c>
      <c r="C10" s="4" t="s">
        <v>21</v>
      </c>
      <c r="D10" s="3">
        <v>6.9444444444444441E-3</v>
      </c>
    </row>
    <row r="11" spans="1:5" x14ac:dyDescent="0.2">
      <c r="A11" s="2">
        <f t="shared" si="0"/>
        <v>0.83333333333333315</v>
      </c>
      <c r="B11" s="1">
        <v>9</v>
      </c>
      <c r="C11" s="4" t="s">
        <v>12</v>
      </c>
      <c r="D11" s="3">
        <v>1.3888888888888888E-2</v>
      </c>
    </row>
    <row r="12" spans="1:5" x14ac:dyDescent="0.2">
      <c r="A12" s="2">
        <f t="shared" si="0"/>
        <v>0.84722222222222199</v>
      </c>
      <c r="B12" s="1">
        <v>10</v>
      </c>
      <c r="C12" s="4" t="s">
        <v>13</v>
      </c>
      <c r="D12" s="3">
        <v>6.9444444444444441E-3</v>
      </c>
    </row>
    <row r="13" spans="1:5" x14ac:dyDescent="0.2">
      <c r="A13" s="2">
        <f t="shared" si="0"/>
        <v>0.85416666666666641</v>
      </c>
      <c r="B13" s="1">
        <v>11</v>
      </c>
      <c r="C13" t="s">
        <v>7</v>
      </c>
      <c r="D13" s="3">
        <v>1.0416666666666666E-2</v>
      </c>
    </row>
    <row r="14" spans="1:5" x14ac:dyDescent="0.2">
      <c r="A14" s="2">
        <f t="shared" si="0"/>
        <v>0.86458333333333304</v>
      </c>
      <c r="B14" s="1">
        <v>12</v>
      </c>
      <c r="C14" s="4" t="s">
        <v>18</v>
      </c>
      <c r="D14" s="3">
        <v>1.0416666666666666E-2</v>
      </c>
    </row>
    <row r="15" spans="1:5" x14ac:dyDescent="0.2">
      <c r="A15" s="2">
        <f t="shared" si="0"/>
        <v>0.87499999999999967</v>
      </c>
      <c r="B15" s="1">
        <v>13</v>
      </c>
      <c r="C15" s="4" t="s">
        <v>22</v>
      </c>
      <c r="D15" s="3">
        <v>1.0416666666666666E-2</v>
      </c>
    </row>
    <row r="16" spans="1:5" x14ac:dyDescent="0.2">
      <c r="A16" s="2">
        <f t="shared" si="0"/>
        <v>0.8854166666666663</v>
      </c>
      <c r="B16" s="1">
        <v>14</v>
      </c>
      <c r="C16" s="4" t="s">
        <v>23</v>
      </c>
      <c r="D16" s="3">
        <v>6.9444444444444441E-3</v>
      </c>
    </row>
    <row r="17" spans="1:4" x14ac:dyDescent="0.2">
      <c r="A17" s="2">
        <f t="shared" si="0"/>
        <v>0.89236111111111072</v>
      </c>
      <c r="B17" s="1">
        <v>15</v>
      </c>
      <c r="C17" s="4" t="s">
        <v>14</v>
      </c>
      <c r="D17" s="3">
        <v>3.472222222222222E-3</v>
      </c>
    </row>
    <row r="18" spans="1:4" x14ac:dyDescent="0.2">
      <c r="A18" s="2">
        <f t="shared" si="0"/>
        <v>0.89583333333333293</v>
      </c>
      <c r="C18" t="s">
        <v>8</v>
      </c>
    </row>
  </sheetData>
  <mergeCells count="1">
    <mergeCell ref="A1:E1"/>
  </mergeCells>
  <conditionalFormatting sqref="E12 B7 E7:E9 E15:E16 B11 B15">
    <cfRule type="expression" dxfId="122" priority="55">
      <formula>LOWER($E7)="critical"</formula>
    </cfRule>
    <cfRule type="expression" dxfId="121" priority="56">
      <formula>LOWER($E7)="high"</formula>
    </cfRule>
    <cfRule type="expression" dxfId="120" priority="57">
      <formula>LOWER($E7)="skip"</formula>
    </cfRule>
  </conditionalFormatting>
  <conditionalFormatting sqref="E13">
    <cfRule type="expression" dxfId="119" priority="58">
      <formula>LOWER($E13)="critical"</formula>
    </cfRule>
    <cfRule type="expression" dxfId="118" priority="59">
      <formula>LOWER($E13)="high"</formula>
    </cfRule>
    <cfRule type="expression" dxfId="117" priority="60">
      <formula>LOWER($E13)="skip"</formula>
    </cfRule>
  </conditionalFormatting>
  <conditionalFormatting sqref="E14">
    <cfRule type="expression" dxfId="116" priority="61">
      <formula>LOWER($E14)="critical"</formula>
    </cfRule>
    <cfRule type="expression" dxfId="115" priority="62">
      <formula>LOWER($E14)="high"</formula>
    </cfRule>
    <cfRule type="expression" dxfId="114" priority="63">
      <formula>LOWER($E14)="skip"</formula>
    </cfRule>
  </conditionalFormatting>
  <conditionalFormatting sqref="E17">
    <cfRule type="expression" dxfId="113" priority="73">
      <formula>LOWER($E17)="critical"</formula>
    </cfRule>
    <cfRule type="expression" dxfId="112" priority="74">
      <formula>LOWER($E17)="high"</formula>
    </cfRule>
    <cfRule type="expression" dxfId="111" priority="75">
      <formula>LOWER($E17)="skip"</formula>
    </cfRule>
  </conditionalFormatting>
  <conditionalFormatting sqref="A3:B3 E3">
    <cfRule type="expression" dxfId="110" priority="34">
      <formula>LOWER($E3)="critical"</formula>
    </cfRule>
    <cfRule type="expression" dxfId="109" priority="35">
      <formula>LOWER($E3)="high"</formula>
    </cfRule>
    <cfRule type="expression" dxfId="108" priority="36">
      <formula>LOWER($E3)="skip"</formula>
    </cfRule>
  </conditionalFormatting>
  <conditionalFormatting sqref="A4:B4 E4 B8 B12 B16">
    <cfRule type="expression" dxfId="107" priority="37">
      <formula>LOWER($E4)="critical"</formula>
    </cfRule>
    <cfRule type="expression" dxfId="106" priority="38">
      <formula>LOWER($E4)="high"</formula>
    </cfRule>
    <cfRule type="expression" dxfId="105" priority="39">
      <formula>LOWER($E4)="skip"</formula>
    </cfRule>
  </conditionalFormatting>
  <conditionalFormatting sqref="A5:B5 E5 B9 B13 B17">
    <cfRule type="expression" dxfId="104" priority="40">
      <formula>LOWER($E5)="critical"</formula>
    </cfRule>
    <cfRule type="expression" dxfId="103" priority="41">
      <formula>LOWER($E5)="high"</formula>
    </cfRule>
    <cfRule type="expression" dxfId="102" priority="42">
      <formula>LOWER($E5)="skip"</formula>
    </cfRule>
  </conditionalFormatting>
  <conditionalFormatting sqref="A6:B6 E6 B10 B14 A7:A18">
    <cfRule type="expression" dxfId="101" priority="43">
      <formula>LOWER($E6)="critical"</formula>
    </cfRule>
    <cfRule type="expression" dxfId="100" priority="44">
      <formula>LOWER($E6)="high"</formula>
    </cfRule>
    <cfRule type="expression" dxfId="99" priority="45">
      <formula>LOWER($E6)="skip"</formula>
    </cfRule>
  </conditionalFormatting>
  <conditionalFormatting sqref="E10">
    <cfRule type="expression" dxfId="98" priority="49">
      <formula>LOWER($E10)="critical"</formula>
    </cfRule>
    <cfRule type="expression" dxfId="97" priority="50">
      <formula>LOWER($E10)="high"</formula>
    </cfRule>
    <cfRule type="expression" dxfId="96" priority="51">
      <formula>LOWER($E10)="skip"</formula>
    </cfRule>
  </conditionalFormatting>
  <conditionalFormatting sqref="E11">
    <cfRule type="expression" dxfId="95" priority="52">
      <formula>LOWER($E11)="critical"</formula>
    </cfRule>
    <cfRule type="expression" dxfId="94" priority="53">
      <formula>LOWER($E11)="high"</formula>
    </cfRule>
    <cfRule type="expression" dxfId="93" priority="54">
      <formula>LOWER($E11)="skip"</formula>
    </cfRule>
  </conditionalFormatting>
  <conditionalFormatting sqref="D16:D17 D3:D12">
    <cfRule type="expression" dxfId="17" priority="13">
      <formula>LOWER($E3)="critical"</formula>
    </cfRule>
    <cfRule type="expression" dxfId="16" priority="14">
      <formula>LOWER($E3)="high"</formula>
    </cfRule>
    <cfRule type="expression" dxfId="15" priority="15">
      <formula>LOWER($E3)="skip"</formula>
    </cfRule>
  </conditionalFormatting>
  <conditionalFormatting sqref="C13:D13">
    <cfRule type="expression" dxfId="14" priority="7">
      <formula>LOWER($E13)="critical"</formula>
    </cfRule>
    <cfRule type="expression" dxfId="13" priority="8">
      <formula>LOWER($E13)="high"</formula>
    </cfRule>
    <cfRule type="expression" dxfId="12" priority="9">
      <formula>LOWER($E13)="skip"</formula>
    </cfRule>
  </conditionalFormatting>
  <conditionalFormatting sqref="C13:D13">
    <cfRule type="expression" dxfId="11" priority="10">
      <formula>LOWER($E15)="critical"</formula>
    </cfRule>
    <cfRule type="expression" dxfId="10" priority="11">
      <formula>LOWER($E15)="high"</formula>
    </cfRule>
    <cfRule type="expression" dxfId="9" priority="12">
      <formula>LOWER($E15)="skip"</formula>
    </cfRule>
  </conditionalFormatting>
  <conditionalFormatting sqref="D16">
    <cfRule type="expression" dxfId="8" priority="4">
      <formula>LOWER($E17)="critical"</formula>
    </cfRule>
    <cfRule type="expression" dxfId="7" priority="5">
      <formula>LOWER($E17)="high"</formula>
    </cfRule>
    <cfRule type="expression" dxfId="6" priority="6">
      <formula>LOWER($E17)="skip"</formula>
    </cfRule>
  </conditionalFormatting>
  <conditionalFormatting sqref="D14:D15">
    <cfRule type="expression" dxfId="5" priority="1">
      <formula>LOWER($E14)="critical"</formula>
    </cfRule>
    <cfRule type="expression" dxfId="4" priority="2">
      <formula>LOWER($E14)="high"</formula>
    </cfRule>
    <cfRule type="expression" dxfId="3" priority="3">
      <formula>LOWER($E14)="skip"</formula>
    </cfRule>
  </conditionalFormatting>
  <conditionalFormatting sqref="D8">
    <cfRule type="expression" dxfId="2" priority="16">
      <formula>LOWER($E19)="critical"</formula>
    </cfRule>
    <cfRule type="expression" dxfId="1" priority="17">
      <formula>LOWER($E19)="high"</formula>
    </cfRule>
    <cfRule type="expression" dxfId="0" priority="18">
      <formula>LOWER($E19)="skip"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zoomScale="145" zoomScaleNormal="145" workbookViewId="0">
      <selection activeCell="C3" sqref="C3:D17"/>
    </sheetView>
  </sheetViews>
  <sheetFormatPr baseColWidth="10" defaultColWidth="8.83203125" defaultRowHeight="15" x14ac:dyDescent="0.2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2">
      <c r="A1" s="6" t="s">
        <v>9</v>
      </c>
      <c r="B1" s="6"/>
      <c r="C1" s="6"/>
      <c r="D1" s="6"/>
      <c r="E1" s="6"/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2" t="s">
        <v>5</v>
      </c>
      <c r="B3" s="1">
        <v>1</v>
      </c>
      <c r="C3" s="4" t="s">
        <v>6</v>
      </c>
      <c r="D3" s="3">
        <v>3.472222222222222E-3</v>
      </c>
    </row>
    <row r="4" spans="1:5" x14ac:dyDescent="0.2">
      <c r="A4" s="2">
        <f t="shared" ref="A4:A19" si="0">IF(LOWER($E3)="skip",A3,A3+D3)</f>
        <v>0.4201388888888889</v>
      </c>
      <c r="B4" s="1">
        <v>2</v>
      </c>
      <c r="C4" s="5" t="s">
        <v>11</v>
      </c>
      <c r="D4" s="3">
        <v>6.9444444444444441E-3</v>
      </c>
    </row>
    <row r="5" spans="1:5" x14ac:dyDescent="0.2">
      <c r="A5" s="2">
        <f t="shared" si="0"/>
        <v>0.42708333333333331</v>
      </c>
      <c r="B5" s="1">
        <v>3</v>
      </c>
      <c r="C5" s="5" t="s">
        <v>19</v>
      </c>
      <c r="D5" s="3">
        <v>6.9444444444444441E-3</v>
      </c>
    </row>
    <row r="6" spans="1:5" x14ac:dyDescent="0.2">
      <c r="A6" s="2">
        <f t="shared" si="0"/>
        <v>0.43402777777777773</v>
      </c>
      <c r="B6" s="1">
        <v>4</v>
      </c>
      <c r="C6" s="5" t="s">
        <v>10</v>
      </c>
      <c r="D6" s="3">
        <v>1.3888888888888888E-2</v>
      </c>
    </row>
    <row r="7" spans="1:5" x14ac:dyDescent="0.2">
      <c r="A7" s="2">
        <f t="shared" si="0"/>
        <v>0.44791666666666663</v>
      </c>
      <c r="B7" s="1">
        <v>5</v>
      </c>
      <c r="C7" s="5" t="s">
        <v>20</v>
      </c>
      <c r="D7" s="3">
        <v>6.9444444444444441E-3</v>
      </c>
    </row>
    <row r="8" spans="1:5" x14ac:dyDescent="0.2">
      <c r="A8" s="2">
        <f t="shared" si="0"/>
        <v>0.45486111111111105</v>
      </c>
      <c r="B8" s="1">
        <v>6</v>
      </c>
      <c r="C8" s="4" t="s">
        <v>15</v>
      </c>
      <c r="D8" s="3">
        <v>6.9444444444444441E-3</v>
      </c>
    </row>
    <row r="9" spans="1:5" ht="16" customHeight="1" x14ac:dyDescent="0.2">
      <c r="A9" s="2">
        <f t="shared" si="0"/>
        <v>0.46180555555555547</v>
      </c>
      <c r="B9" s="1">
        <v>7</v>
      </c>
      <c r="C9" s="4" t="s">
        <v>16</v>
      </c>
      <c r="D9" s="3">
        <v>1.0416666666666666E-2</v>
      </c>
    </row>
    <row r="10" spans="1:5" x14ac:dyDescent="0.2">
      <c r="A10" s="2">
        <f t="shared" si="0"/>
        <v>0.47222222222222215</v>
      </c>
      <c r="B10" s="1">
        <v>8</v>
      </c>
      <c r="C10" s="4" t="s">
        <v>21</v>
      </c>
      <c r="D10" s="3">
        <v>6.9444444444444441E-3</v>
      </c>
    </row>
    <row r="11" spans="1:5" x14ac:dyDescent="0.2">
      <c r="A11" s="2">
        <f t="shared" si="0"/>
        <v>0.47916666666666657</v>
      </c>
      <c r="B11" s="1">
        <v>9</v>
      </c>
      <c r="C11" s="4" t="s">
        <v>12</v>
      </c>
      <c r="D11" s="3">
        <v>1.3888888888888888E-2</v>
      </c>
    </row>
    <row r="12" spans="1:5" x14ac:dyDescent="0.2">
      <c r="A12" s="2">
        <f t="shared" si="0"/>
        <v>0.49305555555555547</v>
      </c>
      <c r="B12" s="1">
        <v>10</v>
      </c>
      <c r="C12" s="4" t="s">
        <v>13</v>
      </c>
      <c r="D12" s="3">
        <v>6.9444444444444441E-3</v>
      </c>
    </row>
    <row r="13" spans="1:5" x14ac:dyDescent="0.2">
      <c r="A13" s="2">
        <f t="shared" si="0"/>
        <v>0.49999999999999989</v>
      </c>
      <c r="B13" s="1">
        <v>11</v>
      </c>
      <c r="C13" t="s">
        <v>7</v>
      </c>
      <c r="D13" s="3">
        <v>2.7777777777777776E-2</v>
      </c>
    </row>
    <row r="14" spans="1:5" x14ac:dyDescent="0.2">
      <c r="A14" s="2">
        <f t="shared" si="0"/>
        <v>0.52777777777777768</v>
      </c>
      <c r="B14" s="1">
        <v>12</v>
      </c>
      <c r="C14" s="4" t="s">
        <v>18</v>
      </c>
      <c r="D14" s="3">
        <v>1.0416666666666666E-2</v>
      </c>
    </row>
    <row r="15" spans="1:5" x14ac:dyDescent="0.2">
      <c r="A15" s="2">
        <f t="shared" si="0"/>
        <v>0.53819444444444431</v>
      </c>
      <c r="B15" s="1">
        <v>13</v>
      </c>
      <c r="C15" s="4" t="s">
        <v>22</v>
      </c>
      <c r="D15" s="3">
        <v>1.0416666666666666E-2</v>
      </c>
    </row>
    <row r="16" spans="1:5" ht="14" customHeight="1" x14ac:dyDescent="0.2">
      <c r="A16" s="2">
        <f t="shared" si="0"/>
        <v>0.54861111111111094</v>
      </c>
      <c r="B16" s="1">
        <v>14</v>
      </c>
      <c r="C16" s="4" t="s">
        <v>23</v>
      </c>
      <c r="D16" s="3">
        <v>6.9444444444444441E-3</v>
      </c>
    </row>
    <row r="17" spans="1:4" ht="16" customHeight="1" x14ac:dyDescent="0.2">
      <c r="A17" s="2">
        <f t="shared" si="0"/>
        <v>0.55555555555555536</v>
      </c>
      <c r="B17" s="1">
        <v>15</v>
      </c>
      <c r="C17" s="4" t="s">
        <v>14</v>
      </c>
      <c r="D17" s="3">
        <v>3.472222222222222E-3</v>
      </c>
    </row>
    <row r="18" spans="1:4" ht="16" customHeight="1" x14ac:dyDescent="0.2">
      <c r="A18" s="2">
        <f t="shared" si="0"/>
        <v>0.55902777777777757</v>
      </c>
      <c r="B18" s="1">
        <v>16</v>
      </c>
      <c r="C18" s="4" t="s">
        <v>17</v>
      </c>
      <c r="D18" s="3">
        <v>2.4305555555555556E-2</v>
      </c>
    </row>
    <row r="19" spans="1:4" x14ac:dyDescent="0.2">
      <c r="A19" s="2">
        <f t="shared" si="0"/>
        <v>0.58333333333333315</v>
      </c>
      <c r="B19" s="1">
        <v>17</v>
      </c>
      <c r="C19" t="s">
        <v>8</v>
      </c>
    </row>
  </sheetData>
  <mergeCells count="1">
    <mergeCell ref="A1:E1"/>
  </mergeCells>
  <conditionalFormatting sqref="E12 B7 E7:E9 D16:D18 D3:D12 B12 B17">
    <cfRule type="expression" dxfId="80" priority="109">
      <formula>LOWER($E3)="critical"</formula>
    </cfRule>
    <cfRule type="expression" dxfId="79" priority="110">
      <formula>LOWER($E3)="high"</formula>
    </cfRule>
    <cfRule type="expression" dxfId="78" priority="111">
      <formula>LOWER($E3)="skip"</formula>
    </cfRule>
  </conditionalFormatting>
  <conditionalFormatting sqref="E13">
    <cfRule type="expression" dxfId="77" priority="112">
      <formula>LOWER($E13)="critical"</formula>
    </cfRule>
    <cfRule type="expression" dxfId="76" priority="113">
      <formula>LOWER($E13)="high"</formula>
    </cfRule>
    <cfRule type="expression" dxfId="75" priority="114">
      <formula>LOWER($E13)="skip"</formula>
    </cfRule>
  </conditionalFormatting>
  <conditionalFormatting sqref="E14">
    <cfRule type="expression" dxfId="74" priority="115">
      <formula>LOWER($E14)="critical"</formula>
    </cfRule>
    <cfRule type="expression" dxfId="73" priority="116">
      <formula>LOWER($E14)="high"</formula>
    </cfRule>
    <cfRule type="expression" dxfId="72" priority="117">
      <formula>LOWER($E14)="skip"</formula>
    </cfRule>
  </conditionalFormatting>
  <conditionalFormatting sqref="E15">
    <cfRule type="expression" dxfId="71" priority="118">
      <formula>LOWER($E15)="critical"</formula>
    </cfRule>
    <cfRule type="expression" dxfId="70" priority="119">
      <formula>LOWER($E15)="high"</formula>
    </cfRule>
    <cfRule type="expression" dxfId="69" priority="120">
      <formula>LOWER($E15)="skip"</formula>
    </cfRule>
  </conditionalFormatting>
  <conditionalFormatting sqref="E16">
    <cfRule type="expression" dxfId="68" priority="121">
      <formula>LOWER($E16)="critical"</formula>
    </cfRule>
    <cfRule type="expression" dxfId="67" priority="122">
      <formula>LOWER($E16)="high"</formula>
    </cfRule>
    <cfRule type="expression" dxfId="66" priority="123">
      <formula>LOWER($E16)="skip"</formula>
    </cfRule>
  </conditionalFormatting>
  <conditionalFormatting sqref="E17:E18">
    <cfRule type="expression" dxfId="65" priority="145">
      <formula>LOWER($E17)="critical"</formula>
    </cfRule>
    <cfRule type="expression" dxfId="64" priority="146">
      <formula>LOWER($E17)="high"</formula>
    </cfRule>
    <cfRule type="expression" dxfId="63" priority="147">
      <formula>LOWER($E17)="skip"</formula>
    </cfRule>
  </conditionalFormatting>
  <conditionalFormatting sqref="A3 E3">
    <cfRule type="expression" dxfId="62" priority="88">
      <formula>LOWER($E3)="critical"</formula>
    </cfRule>
    <cfRule type="expression" dxfId="61" priority="89">
      <formula>LOWER($E3)="high"</formula>
    </cfRule>
    <cfRule type="expression" dxfId="60" priority="90">
      <formula>LOWER($E3)="skip"</formula>
    </cfRule>
  </conditionalFormatting>
  <conditionalFormatting sqref="A4 E4">
    <cfRule type="expression" dxfId="59" priority="91">
      <formula>LOWER($E4)="critical"</formula>
    </cfRule>
    <cfRule type="expression" dxfId="58" priority="92">
      <formula>LOWER($E4)="high"</formula>
    </cfRule>
    <cfRule type="expression" dxfId="57" priority="93">
      <formula>LOWER($E4)="skip"</formula>
    </cfRule>
  </conditionalFormatting>
  <conditionalFormatting sqref="E5 A5:A19">
    <cfRule type="expression" dxfId="56" priority="94">
      <formula>LOWER($E5)="critical"</formula>
    </cfRule>
    <cfRule type="expression" dxfId="55" priority="95">
      <formula>LOWER($E5)="high"</formula>
    </cfRule>
    <cfRule type="expression" dxfId="54" priority="96">
      <formula>LOWER($E5)="skip"</formula>
    </cfRule>
  </conditionalFormatting>
  <conditionalFormatting sqref="E6">
    <cfRule type="expression" dxfId="53" priority="97">
      <formula>LOWER($E6)="critical"</formula>
    </cfRule>
    <cfRule type="expression" dxfId="52" priority="98">
      <formula>LOWER($E6)="high"</formula>
    </cfRule>
    <cfRule type="expression" dxfId="51" priority="99">
      <formula>LOWER($E6)="skip"</formula>
    </cfRule>
  </conditionalFormatting>
  <conditionalFormatting sqref="E10">
    <cfRule type="expression" dxfId="50" priority="103">
      <formula>LOWER($E10)="critical"</formula>
    </cfRule>
    <cfRule type="expression" dxfId="49" priority="104">
      <formula>LOWER($E10)="high"</formula>
    </cfRule>
    <cfRule type="expression" dxfId="48" priority="105">
      <formula>LOWER($E10)="skip"</formula>
    </cfRule>
  </conditionalFormatting>
  <conditionalFormatting sqref="E11">
    <cfRule type="expression" dxfId="47" priority="106">
      <formula>LOWER($E11)="critical"</formula>
    </cfRule>
    <cfRule type="expression" dxfId="46" priority="107">
      <formula>LOWER($E11)="high"</formula>
    </cfRule>
    <cfRule type="expression" dxfId="45" priority="108">
      <formula>LOWER($E11)="skip"</formula>
    </cfRule>
  </conditionalFormatting>
  <conditionalFormatting sqref="B3 B8 B13 B18">
    <cfRule type="expression" dxfId="44" priority="31">
      <formula>LOWER($E3)="critical"</formula>
    </cfRule>
    <cfRule type="expression" dxfId="43" priority="32">
      <formula>LOWER($E3)="high"</formula>
    </cfRule>
    <cfRule type="expression" dxfId="42" priority="33">
      <formula>LOWER($E3)="skip"</formula>
    </cfRule>
  </conditionalFormatting>
  <conditionalFormatting sqref="B4 B9 B14 B19">
    <cfRule type="expression" dxfId="41" priority="34">
      <formula>LOWER($E4)="critical"</formula>
    </cfRule>
    <cfRule type="expression" dxfId="40" priority="35">
      <formula>LOWER($E4)="high"</formula>
    </cfRule>
    <cfRule type="expression" dxfId="39" priority="36">
      <formula>LOWER($E4)="skip"</formula>
    </cfRule>
  </conditionalFormatting>
  <conditionalFormatting sqref="B5 B10 B15">
    <cfRule type="expression" dxfId="38" priority="37">
      <formula>LOWER($E5)="critical"</formula>
    </cfRule>
    <cfRule type="expression" dxfId="37" priority="38">
      <formula>LOWER($E5)="high"</formula>
    </cfRule>
    <cfRule type="expression" dxfId="36" priority="39">
      <formula>LOWER($E5)="skip"</formula>
    </cfRule>
  </conditionalFormatting>
  <conditionalFormatting sqref="B6 B11 B16">
    <cfRule type="expression" dxfId="35" priority="40">
      <formula>LOWER($E6)="critical"</formula>
    </cfRule>
    <cfRule type="expression" dxfId="34" priority="41">
      <formula>LOWER($E6)="high"</formula>
    </cfRule>
    <cfRule type="expression" dxfId="33" priority="42">
      <formula>LOWER($E6)="skip"</formula>
    </cfRule>
  </conditionalFormatting>
  <conditionalFormatting sqref="C13:D13">
    <cfRule type="expression" dxfId="32" priority="13">
      <formula>LOWER($E13)="critical"</formula>
    </cfRule>
    <cfRule type="expression" dxfId="31" priority="14">
      <formula>LOWER($E13)="high"</formula>
    </cfRule>
    <cfRule type="expression" dxfId="30" priority="15">
      <formula>LOWER($E13)="skip"</formula>
    </cfRule>
  </conditionalFormatting>
  <conditionalFormatting sqref="C13:D13">
    <cfRule type="expression" dxfId="29" priority="16">
      <formula>LOWER($E15)="critical"</formula>
    </cfRule>
    <cfRule type="expression" dxfId="28" priority="17">
      <formula>LOWER($E15)="high"</formula>
    </cfRule>
    <cfRule type="expression" dxfId="27" priority="18">
      <formula>LOWER($E15)="skip"</formula>
    </cfRule>
  </conditionalFormatting>
  <conditionalFormatting sqref="D16">
    <cfRule type="expression" dxfId="26" priority="7">
      <formula>LOWER($E17)="critical"</formula>
    </cfRule>
    <cfRule type="expression" dxfId="25" priority="8">
      <formula>LOWER($E17)="high"</formula>
    </cfRule>
    <cfRule type="expression" dxfId="24" priority="9">
      <formula>LOWER($E17)="skip"</formula>
    </cfRule>
  </conditionalFormatting>
  <conditionalFormatting sqref="D14:D15">
    <cfRule type="expression" dxfId="23" priority="1">
      <formula>LOWER($E14)="critical"</formula>
    </cfRule>
    <cfRule type="expression" dxfId="22" priority="2">
      <formula>LOWER($E14)="high"</formula>
    </cfRule>
    <cfRule type="expression" dxfId="21" priority="3">
      <formula>LOWER($E14)="skip"</formula>
    </cfRule>
  </conditionalFormatting>
  <conditionalFormatting sqref="D8">
    <cfRule type="expression" dxfId="20" priority="157">
      <formula>LOWER($E19)="critical"</formula>
    </cfRule>
    <cfRule type="expression" dxfId="19" priority="158">
      <formula>LOWER($E19)="high"</formula>
    </cfRule>
    <cfRule type="expression" dxfId="18" priority="159">
      <formula>LOWER($E19)="skip"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Weeknight</vt:lpstr>
      <vt:lpstr>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Lori Harris</cp:lastModifiedBy>
  <dcterms:created xsi:type="dcterms:W3CDTF">2020-04-03T15:58:22Z</dcterms:created>
  <dcterms:modified xsi:type="dcterms:W3CDTF">2022-06-07T14:36:46Z</dcterms:modified>
</cp:coreProperties>
</file>